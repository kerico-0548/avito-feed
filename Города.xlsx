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f5c044c69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орода" sheetId="1" r:id="R6ef3ffb70666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C6EF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Alignment="1">
      <x:alignment vertical="center" wrapText="1"/>
    </x:xf>
    <x:xf numFmtId="3" fontId="0" fillId="0" borderId="0" xfId="0"/>
    <x:xf numFmtId="0" fontId="0" fillId="2" borderId="0" xfId="0"/>
    <x:xf numFmtId="0" fontId="1" fillId="0" borderId="0" xfId="0"/>
    <x:xf numFmtId="3" fontId="1" fillId="0" borderId="0" xfId="0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d429dfa9f46f4" /><Relationship Type="http://schemas.openxmlformats.org/officeDocument/2006/relationships/theme" Target="/xl/theme/theme1.xml" Id="Rd53ce33ec7f848ac" /><Relationship Type="http://schemas.openxmlformats.org/officeDocument/2006/relationships/sharedStrings" Target="/xl/sharedStrings.xml" Id="R4c3250ebd7c64475" /><Relationship Type="http://schemas.openxmlformats.org/officeDocument/2006/relationships/worksheet" Target="/xl/worksheets/sheet1.xml" Id="R6ef3ffb7066644b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20" customWidth="1"/>
    <x:col min="2" max="2" width="13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19" hidden="0" customWidth="1"/>
  </x:cols>
  <x:sheetData>
    <x:row r="1" ht="36" customHeight="1">
      <x:c r="A1" s="1" t="str">
        <x:v>Город</x:v>
      </x:c>
      <x:c r="B1" s="1" t="str">
        <x:v>Население</x:v>
      </x:c>
      <x:c r="C1" s="8" t="str">
        <x:v>Репетиторство</x:v>
      </x:c>
      <x:c r="D1" s="8" t="str">
        <x:v>ML и автоматизация</x:v>
      </x:c>
      <x:c r="E1" s="8" t="str">
        <x:v>Обучение ИИ</x:v>
      </x:c>
      <x:c r="F1" s="8" t="str">
        <x:v>Курс ИИ</x:v>
      </x:c>
      <x:c r="G1" s="8" t="str">
        <x:v>Помощь студентам</x:v>
      </x:c>
      <x:c r="H1" s="8" t="str">
        <x:v>Всего объявлений</x:v>
      </x:c>
    </x:row>
    <x:row r="2">
      <x:c r="A2" t="str">
        <x:v>Москва</x:v>
      </x:c>
      <x:c r="B2" s="2" t="n">
        <x:v>13274285</x:v>
      </x:c>
      <x:c r="C2" s="7" t="str">
        <x:v>да</x:v>
      </x:c>
      <x:c r="D2" s="7" t="str">
        <x:v>да</x:v>
      </x:c>
      <x:c r="E2" s="7" t="str">
        <x:v>да</x:v>
      </x:c>
      <x:c r="F2" s="7" t="str">
        <x:v>да</x:v>
      </x:c>
      <x:c r="G2" s="7" t="str">
        <x:v>да</x:v>
      </x:c>
      <x:c r="H2" t="n">
        <x:f>COUNTIFS(C2:G2,"да")</x:f>
        <x:v>5</x:v>
      </x:c>
    </x:row>
    <x:row r="3">
      <x:c r="A3" t="str">
        <x:v>Санкт-Петербург</x:v>
      </x:c>
      <x:c r="B3" s="2" t="n">
        <x:v>5652922</x:v>
      </x:c>
      <x:c r="C3" s="7" t="str">
        <x:v>да</x:v>
      </x:c>
      <x:c r="D3" s="7" t="str">
        <x:v>да</x:v>
      </x:c>
      <x:c r="E3" s="7" t="str">
        <x:v>да</x:v>
      </x:c>
      <x:c r="F3" s="7" t="str">
        <x:v>да</x:v>
      </x:c>
      <x:c r="G3" s="7" t="str">
        <x:v>да</x:v>
      </x:c>
      <x:c r="H3" t="n">
        <x:f>COUNTIFS(C3:G3,"да")</x:f>
        <x:v>5</x:v>
      </x:c>
    </x:row>
    <x:row r="4">
      <x:c r="A4" t="str">
        <x:v>Новосибирск</x:v>
      </x:c>
      <x:c r="B4" s="2" t="n">
        <x:v>1637266</x:v>
      </x:c>
      <x:c r="C4" s="7" t="str">
        <x:v>да</x:v>
      </x:c>
      <x:c r="D4" s="7" t="str">
        <x:v>да</x:v>
      </x:c>
      <x:c r="E4" s="7" t="str">
        <x:v>да</x:v>
      </x:c>
      <x:c r="F4" s="7" t="str">
        <x:v>да</x:v>
      </x:c>
      <x:c r="G4" s="7" t="str">
        <x:v>да</x:v>
      </x:c>
      <x:c r="H4" t="n">
        <x:f>COUNTIFS(C4:G4,"да")</x:f>
        <x:v>5</x:v>
      </x:c>
    </x:row>
    <x:row r="5">
      <x:c r="A5" t="str">
        <x:v>Екатеринбург</x:v>
      </x:c>
      <x:c r="B5" s="2" t="n">
        <x:v>1548187</x:v>
      </x:c>
      <x:c r="C5" s="7" t="str">
        <x:v>да</x:v>
      </x:c>
      <x:c r="D5" s="7" t="str">
        <x:v>да</x:v>
      </x:c>
      <x:c r="E5" s="7" t="str">
        <x:v>да</x:v>
      </x:c>
      <x:c r="F5" s="7" t="str">
        <x:v>да</x:v>
      </x:c>
      <x:c r="G5" s="7" t="str">
        <x:v>да</x:v>
      </x:c>
      <x:c r="H5" t="n">
        <x:f>COUNTIFS(C5:G5,"да")</x:f>
        <x:v>5</x:v>
      </x:c>
    </x:row>
    <x:row r="6">
      <x:c r="A6" t="str">
        <x:v>Казань</x:v>
      </x:c>
      <x:c r="B6" s="2" t="n">
        <x:v>1329825</x:v>
      </x:c>
      <x:c r="C6" s="7" t="str">
        <x:v>да</x:v>
      </x:c>
      <x:c r="D6" s="7" t="str">
        <x:v>да</x:v>
      </x:c>
      <x:c r="E6" s="7" t="str">
        <x:v>да</x:v>
      </x:c>
      <x:c r="F6" s="7" t="str">
        <x:v>да</x:v>
      </x:c>
      <x:c r="G6" s="6"/>
      <x:c r="H6" t="n">
        <x:f>COUNTIFS(C6:G6,"да")</x:f>
        <x:v>4</x:v>
      </x:c>
    </x:row>
    <x:row r="7">
      <x:c r="A7" t="str">
        <x:v>Красноярск</x:v>
      </x:c>
      <x:c r="B7" s="2" t="n">
        <x:v>1211756</x:v>
      </x:c>
      <x:c r="C7" s="7" t="str">
        <x:v>да</x:v>
      </x:c>
      <x:c r="D7" s="7" t="str">
        <x:v>да</x:v>
      </x:c>
      <x:c r="E7" s="7" t="str">
        <x:v>да</x:v>
      </x:c>
      <x:c r="F7" s="7" t="str">
        <x:v>да</x:v>
      </x:c>
      <x:c r="G7" s="7" t="str">
        <x:v>да</x:v>
      </x:c>
      <x:c r="H7" t="n">
        <x:f>COUNTIFS(C7:G7,"да")</x:f>
        <x:v>5</x:v>
      </x:c>
    </x:row>
    <x:row r="8">
      <x:c r="A8" t="str">
        <x:v>Нижний Новгород</x:v>
      </x:c>
      <x:c r="B8" s="2" t="n">
        <x:v>1198245</x:v>
      </x:c>
      <x:c r="C8" s="7" t="str">
        <x:v>да</x:v>
      </x:c>
      <x:c r="D8" s="7" t="str">
        <x:v>да</x:v>
      </x:c>
      <x:c r="E8" s="7" t="str">
        <x:v>да</x:v>
      </x:c>
      <x:c r="F8" s="7" t="str">
        <x:v>да</x:v>
      </x:c>
      <x:c r="G8" s="7" t="str">
        <x:v>да</x:v>
      </x:c>
      <x:c r="H8" t="n">
        <x:f>COUNTIFS(C8:G8,"да")</x:f>
        <x:v>5</x:v>
      </x:c>
    </x:row>
    <x:row r="9">
      <x:c r="A9" t="str">
        <x:v>Челябинск</x:v>
      </x:c>
      <x:c r="B9" s="2" t="n">
        <x:v>1176770</x:v>
      </x:c>
      <x:c r="C9" s="7" t="str">
        <x:v>да</x:v>
      </x:c>
      <x:c r="D9" s="7" t="str">
        <x:v>да</x:v>
      </x:c>
      <x:c r="E9" s="7" t="str">
        <x:v>да</x:v>
      </x:c>
      <x:c r="F9" s="7" t="str">
        <x:v>да</x:v>
      </x:c>
      <x:c r="G9" s="7" t="str">
        <x:v>да</x:v>
      </x:c>
      <x:c r="H9" t="n">
        <x:f>COUNTIFS(C9:G9,"да")</x:f>
        <x:v>5</x:v>
      </x:c>
    </x:row>
    <x:row r="10">
      <x:c r="A10" t="str">
        <x:v>Уфа</x:v>
      </x:c>
      <x:c r="B10" s="2" t="n">
        <x:v>1166098</x:v>
      </x:c>
      <x:c r="C10" s="7" t="str">
        <x:v>да</x:v>
      </x:c>
      <x:c r="D10" s="7" t="str">
        <x:v>да</x:v>
      </x:c>
      <x:c r="E10" s="7" t="str">
        <x:v>да</x:v>
      </x:c>
      <x:c r="F10" s="7" t="str">
        <x:v>да</x:v>
      </x:c>
      <x:c r="G10" s="7" t="str">
        <x:v>да</x:v>
      </x:c>
      <x:c r="H10" t="n">
        <x:f>COUNTIFS(C10:G10,"да")</x:f>
        <x:v>5</x:v>
      </x:c>
    </x:row>
    <x:row r="11">
      <x:c r="A11" t="str">
        <x:v>Краснодар</x:v>
      </x:c>
      <x:c r="B11" s="2" t="n">
        <x:v>1154885</x:v>
      </x:c>
      <x:c r="C11" s="7" t="str">
        <x:v>да</x:v>
      </x:c>
      <x:c r="D11" s="7" t="str">
        <x:v>да</x:v>
      </x:c>
      <x:c r="E11" s="7" t="str">
        <x:v>да</x:v>
      </x:c>
      <x:c r="F11" s="7" t="str">
        <x:v>да</x:v>
      </x:c>
      <x:c r="G11" s="7" t="str">
        <x:v>да</x:v>
      </x:c>
      <x:c r="H11" t="n">
        <x:f>COUNTIFS(C11:G11,"да")</x:f>
        <x:v>5</x:v>
      </x:c>
    </x:row>
    <x:row r="12">
      <x:c r="A12" t="str">
        <x:v>Самара</x:v>
      </x:c>
      <x:c r="B12" s="2" t="n">
        <x:v>1154223</x:v>
      </x:c>
      <x:c r="C12" s="7" t="str">
        <x:v>да</x:v>
      </x:c>
      <x:c r="D12" s="7" t="str">
        <x:v>да</x:v>
      </x:c>
      <x:c r="E12" s="7" t="str">
        <x:v>да</x:v>
      </x:c>
      <x:c r="F12" s="7" t="str">
        <x:v>да</x:v>
      </x:c>
      <x:c r="G12" s="7" t="str">
        <x:v>да</x:v>
      </x:c>
      <x:c r="H12" t="n">
        <x:f>COUNTIFS(C12:G12,"да")</x:f>
        <x:v>5</x:v>
      </x:c>
    </x:row>
    <x:row r="13">
      <x:c r="A13" t="str">
        <x:v>Ростов-на-Дону</x:v>
      </x:c>
      <x:c r="B13" s="2" t="n">
        <x:v>1143123</x:v>
      </x:c>
      <x:c r="C13" s="7" t="str">
        <x:v>да</x:v>
      </x:c>
      <x:c r="D13" s="7" t="str">
        <x:v>да</x:v>
      </x:c>
      <x:c r="E13" s="7" t="str">
        <x:v>да</x:v>
      </x:c>
      <x:c r="F13" s="7" t="str">
        <x:v>да</x:v>
      </x:c>
      <x:c r="G13" s="7" t="str">
        <x:v>да</x:v>
      </x:c>
      <x:c r="H13" t="n">
        <x:f>COUNTIFS(C13:G13,"да")</x:f>
        <x:v>5</x:v>
      </x:c>
    </x:row>
    <x:row r="14">
      <x:c r="A14" t="str">
        <x:v>Омск</x:v>
      </x:c>
      <x:c r="B14" s="2" t="n">
        <x:v>1101367</x:v>
      </x:c>
      <x:c r="C14" s="7" t="str">
        <x:v>да</x:v>
      </x:c>
      <x:c r="D14" s="7" t="str">
        <x:v>да</x:v>
      </x:c>
      <x:c r="E14" s="7" t="str">
        <x:v>да</x:v>
      </x:c>
      <x:c r="F14" s="7" t="str">
        <x:v>да</x:v>
      </x:c>
      <x:c r="G14" s="7" t="str">
        <x:v>да</x:v>
      </x:c>
      <x:c r="H14" t="n">
        <x:f>COUNTIFS(C14:G14,"да")</x:f>
        <x:v>5</x:v>
      </x:c>
    </x:row>
    <x:row r="15">
      <x:c r="A15" t="str">
        <x:v>Воронеж</x:v>
      </x:c>
      <x:c r="B15" s="2" t="n">
        <x:v>1041722</x:v>
      </x:c>
      <x:c r="C15" s="7" t="str">
        <x:v>да</x:v>
      </x:c>
      <x:c r="D15" s="7" t="str">
        <x:v>да</x:v>
      </x:c>
      <x:c r="E15" s="7" t="str">
        <x:v>да</x:v>
      </x:c>
      <x:c r="F15" s="7" t="str">
        <x:v>да</x:v>
      </x:c>
      <x:c r="G15" s="7" t="str">
        <x:v>да</x:v>
      </x:c>
      <x:c r="H15" t="n">
        <x:f>COUNTIFS(C15:G15,"да")</x:f>
        <x:v>5</x:v>
      </x:c>
    </x:row>
    <x:row r="16">
      <x:c r="A16" t="str">
        <x:v>Пермь</x:v>
      </x:c>
      <x:c r="B16" s="2" t="n">
        <x:v>1027518</x:v>
      </x:c>
      <x:c r="C16" s="7" t="str">
        <x:v>да</x:v>
      </x:c>
      <x:c r="D16" s="7" t="str">
        <x:v>да</x:v>
      </x:c>
      <x:c r="E16" s="7" t="str">
        <x:v>да</x:v>
      </x:c>
      <x:c r="F16" s="7" t="str">
        <x:v>да</x:v>
      </x:c>
      <x:c r="G16" s="7" t="str">
        <x:v>да</x:v>
      </x:c>
      <x:c r="H16" t="n">
        <x:f>COUNTIFS(C16:G16,"да")</x:f>
        <x:v>5</x:v>
      </x:c>
    </x:row>
    <x:row r="17">
      <x:c r="A17" t="str">
        <x:v>Волгоград</x:v>
      </x:c>
      <x:c r="B17" s="2" t="n">
        <x:v>1012219</x:v>
      </x:c>
      <x:c r="C17" s="7" t="str">
        <x:v>да</x:v>
      </x:c>
      <x:c r="D17" s="7" t="str">
        <x:v>да</x:v>
      </x:c>
      <x:c r="E17" s="7" t="str">
        <x:v>да</x:v>
      </x:c>
      <x:c r="F17" s="7" t="str">
        <x:v>да</x:v>
      </x:c>
      <x:c r="G17" s="7" t="str">
        <x:v>да</x:v>
      </x:c>
      <x:c r="H17" t="n">
        <x:f>COUNTIFS(C17:G17,"да")</x:f>
        <x:v>5</x:v>
      </x:c>
    </x:row>
    <x:row r="18">
      <x:c r="A18" t="str">
        <x:v>Саратов</x:v>
      </x:c>
      <x:c r="B18" s="2" t="n">
        <x:v>886165</x:v>
      </x:c>
      <x:c r="C18" s="7" t="str">
        <x:v>да</x:v>
      </x:c>
      <x:c r="D18" s="7" t="str">
        <x:v>да</x:v>
      </x:c>
      <x:c r="E18" s="7" t="str">
        <x:v>да</x:v>
      </x:c>
      <x:c r="F18" s="7" t="str">
        <x:v>да</x:v>
      </x:c>
      <x:c r="G18" s="7" t="str">
        <x:v>да</x:v>
      </x:c>
      <x:c r="H18" t="n">
        <x:f>COUNTIFS(C18:G18,"да")</x:f>
        <x:v>5</x:v>
      </x:c>
    </x:row>
    <x:row r="19">
      <x:c r="A19" t="str">
        <x:v>Тюмень</x:v>
      </x:c>
      <x:c r="B19" s="2" t="n">
        <x:v>872077</x:v>
      </x:c>
      <x:c r="C19" s="7" t="str">
        <x:v>да</x:v>
      </x:c>
      <x:c r="D19" s="7" t="str">
        <x:v>да</x:v>
      </x:c>
      <x:c r="E19" s="7" t="str">
        <x:v>да</x:v>
      </x:c>
      <x:c r="F19" s="7" t="str">
        <x:v>да</x:v>
      </x:c>
      <x:c r="G19" s="7" t="str">
        <x:v>да</x:v>
      </x:c>
      <x:c r="H19" t="n">
        <x:f>COUNTIFS(C19:G19,"да")</x:f>
        <x:v>5</x:v>
      </x:c>
    </x:row>
    <x:row r="20">
      <x:c r="A20" t="str">
        <x:v>Тольятти</x:v>
      </x:c>
      <x:c r="B20" s="2" t="n">
        <x:v>662683</x:v>
      </x:c>
      <x:c r="C20" s="7" t="str">
        <x:v>да</x:v>
      </x:c>
      <x:c r="D20" s="7" t="str">
        <x:v>да</x:v>
      </x:c>
      <x:c r="E20" s="7" t="str">
        <x:v>да</x:v>
      </x:c>
      <x:c r="F20" s="7" t="str">
        <x:v>да</x:v>
      </x:c>
      <x:c r="G20" s="7" t="str">
        <x:v>да</x:v>
      </x:c>
      <x:c r="H20" t="n">
        <x:f>COUNTIFS(C20:G20,"да")</x:f>
        <x:v>5</x:v>
      </x:c>
    </x:row>
    <x:row r="21">
      <x:c r="A21" t="str">
        <x:v>Махачкала</x:v>
      </x:c>
      <x:c r="B21" s="2" t="n">
        <x:v>625322</x:v>
      </x:c>
      <x:c r="C21" s="7" t="str">
        <x:v>да</x:v>
      </x:c>
      <x:c r="D21" s="7" t="str">
        <x:v>да</x:v>
      </x:c>
      <x:c r="E21" s="7" t="str">
        <x:v>да</x:v>
      </x:c>
      <x:c r="F21" s="7" t="str">
        <x:v>да</x:v>
      </x:c>
      <x:c r="G21" s="7" t="str">
        <x:v>да</x:v>
      </x:c>
      <x:c r="H21" t="n">
        <x:f>COUNTIFS(C21:G21,"да")</x:f>
        <x:v>5</x:v>
      </x:c>
    </x:row>
    <x:row r="22">
      <x:c r="A22" t="str">
        <x:v>Барнаул</x:v>
      </x:c>
      <x:c r="B22" s="2" t="n">
        <x:v>621598</x:v>
      </x:c>
      <x:c r="C22" s="6"/>
      <x:c r="D22" s="7" t="str">
        <x:v>да</x:v>
      </x:c>
      <x:c r="E22" s="7" t="str">
        <x:v>да</x:v>
      </x:c>
      <x:c r="F22" s="7" t="str">
        <x:v>да</x:v>
      </x:c>
      <x:c r="G22" s="7" t="str">
        <x:v>да</x:v>
      </x:c>
      <x:c r="H22" t="n">
        <x:f>COUNTIFS(C22:G22,"да")</x:f>
        <x:v>4</x:v>
      </x:c>
    </x:row>
    <x:row r="23">
      <x:c r="A23" t="str">
        <x:v>Ижевск</x:v>
      </x:c>
      <x:c r="B23" s="2" t="n">
        <x:v>616297</x:v>
      </x:c>
      <x:c r="C23" s="6"/>
      <x:c r="D23" s="7" t="str">
        <x:v>да</x:v>
      </x:c>
      <x:c r="E23" s="7" t="str">
        <x:v>да</x:v>
      </x:c>
      <x:c r="F23" s="7" t="str">
        <x:v>да</x:v>
      </x:c>
      <x:c r="G23" s="7" t="str">
        <x:v>да</x:v>
      </x:c>
      <x:c r="H23" t="n">
        <x:f>COUNTIFS(C23:G23,"да")</x:f>
        <x:v>4</x:v>
      </x:c>
    </x:row>
    <x:row r="24">
      <x:c r="A24" t="str">
        <x:v>Хабаровск</x:v>
      </x:c>
      <x:c r="B24" s="2" t="n">
        <x:v>615600</x:v>
      </x:c>
      <x:c r="C24" s="6"/>
      <x:c r="D24" s="7" t="str">
        <x:v>да</x:v>
      </x:c>
      <x:c r="E24" s="7" t="str">
        <x:v>да</x:v>
      </x:c>
      <x:c r="F24" s="7" t="str">
        <x:v>да</x:v>
      </x:c>
      <x:c r="G24" s="7" t="str">
        <x:v>да</x:v>
      </x:c>
      <x:c r="H24" t="n">
        <x:f>COUNTIFS(C24:G24,"да")</x:f>
        <x:v>4</x:v>
      </x:c>
    </x:row>
    <x:row r="25">
      <x:c r="A25" t="str">
        <x:v>Ульяновск</x:v>
      </x:c>
      <x:c r="B25" s="2" t="n">
        <x:v>612516</x:v>
      </x:c>
      <x:c r="C25" s="6"/>
      <x:c r="D25" s="7" t="str">
        <x:v>да</x:v>
      </x:c>
      <x:c r="E25" s="7" t="str">
        <x:v>да</x:v>
      </x:c>
      <x:c r="F25" s="7" t="str">
        <x:v>да</x:v>
      </x:c>
      <x:c r="G25" s="7" t="str">
        <x:v>да</x:v>
      </x:c>
      <x:c r="H25" t="n">
        <x:f>COUNTIFS(C25:G25,"да")</x:f>
        <x:v>4</x:v>
      </x:c>
    </x:row>
    <x:row r="26">
      <x:c r="A26" t="str">
        <x:v>Иркутск</x:v>
      </x:c>
      <x:c r="B26" s="2" t="n">
        <x:v>605708</x:v>
      </x:c>
      <x:c r="C26" s="6"/>
      <x:c r="D26" s="7" t="str">
        <x:v>да</x:v>
      </x:c>
      <x:c r="E26" s="7" t="str">
        <x:v>да</x:v>
      </x:c>
      <x:c r="F26" s="7" t="str">
        <x:v>да</x:v>
      </x:c>
      <x:c r="G26" s="7" t="str">
        <x:v>да</x:v>
      </x:c>
      <x:c r="H26" t="n">
        <x:f>COUNTIFS(C26:G26,"да")</x:f>
        <x:v>4</x:v>
      </x:c>
    </x:row>
    <x:row r="27">
      <x:c r="A27" t="str">
        <x:v>Владивосток</x:v>
      </x:c>
      <x:c r="B27" s="2" t="n">
        <x:v>594201</x:v>
      </x:c>
      <x:c r="C27" s="6"/>
      <x:c r="D27" s="7" t="str">
        <x:v>да</x:v>
      </x:c>
      <x:c r="E27" s="6"/>
      <x:c r="F27" s="7" t="str">
        <x:v>да</x:v>
      </x:c>
      <x:c r="G27" s="7" t="str">
        <x:v>да</x:v>
      </x:c>
      <x:c r="H27" t="n">
        <x:f>COUNTIFS(C27:G27,"да")</x:f>
        <x:v>3</x:v>
      </x:c>
    </x:row>
    <x:row r="28">
      <x:c r="A28" t="str">
        <x:v>Ярославль</x:v>
      </x:c>
      <x:c r="B28" s="2" t="n">
        <x:v>563717</x:v>
      </x:c>
      <x:c r="C28" s="6"/>
      <x:c r="D28" s="7" t="str">
        <x:v>да</x:v>
      </x:c>
      <x:c r="E28" s="6"/>
      <x:c r="F28" s="6"/>
      <x:c r="G28" s="6"/>
      <x:c r="H28" t="n">
        <x:f>COUNTIFS(C28:G28,"да")</x:f>
        <x:v>1</x:v>
      </x:c>
    </x:row>
    <x:row r="29">
      <x:c r="A29" t="str">
        <x:v>Ставрополь</x:v>
      </x:c>
      <x:c r="B29" s="2" t="n">
        <x:v>562964</x:v>
      </x:c>
      <x:c r="C29" s="6"/>
      <x:c r="D29" s="7" t="str">
        <x:v>да</x:v>
      </x:c>
      <x:c r="E29" s="6"/>
      <x:c r="F29" s="6"/>
      <x:c r="G29" s="6"/>
      <x:c r="H29" t="n">
        <x:f>COUNTIFS(C29:G29,"да")</x:f>
        <x:v>1</x:v>
      </x:c>
    </x:row>
    <x:row r="30">
      <x:c r="A30" t="str">
        <x:v>Набережные Челны</x:v>
      </x:c>
      <x:c r="B30" s="2" t="n">
        <x:v>548221</x:v>
      </x:c>
      <x:c r="C30" s="6"/>
      <x:c r="D30" s="7" t="str">
        <x:v>да</x:v>
      </x:c>
      <x:c r="E30" s="6"/>
      <x:c r="F30" s="6"/>
      <x:c r="G30" s="6"/>
      <x:c r="H30" t="n">
        <x:f>COUNTIFS(C30:G30,"да")</x:f>
        <x:v>1</x:v>
      </x:c>
    </x:row>
    <x:row r="31">
      <x:c r="A31" t="str">
        <x:v>Томск</x:v>
      </x:c>
      <x:c r="B31" s="2" t="n">
        <x:v>544566</x:v>
      </x:c>
      <x:c r="C31" s="6"/>
      <x:c r="D31" s="7" t="str">
        <x:v>да</x:v>
      </x:c>
      <x:c r="E31" s="6"/>
      <x:c r="F31" s="6"/>
      <x:c r="G31" s="6"/>
      <x:c r="H31" t="n">
        <x:f>COUNTIFS(C31:G31,"да")</x:f>
        <x:v>1</x:v>
      </x:c>
    </x:row>
    <x:row r="32">
      <x:c r="A32" t="str">
        <x:v>Грозный</x:v>
      </x:c>
      <x:c r="B32" s="2" t="n">
        <x:v>399286</x:v>
      </x:c>
      <x:c r="C32" s="6"/>
      <x:c r="D32" s="6"/>
      <x:c r="E32" s="6"/>
      <x:c r="F32" s="7" t="str">
        <x:v>да</x:v>
      </x:c>
      <x:c r="G32" s="6"/>
      <x:c r="H32" t="n">
        <x:f>COUNTIFS(C32:G32,"да")</x:f>
        <x:v>1</x:v>
      </x:c>
    </x:row>
    <x:row r="33">
      <x:c r="A33" s="4" t="str">
        <x:v>Итого</x:v>
      </x:c>
      <x:c r="B33" s="5" t="n">
        <x:f>SUM(B2:B32)</x:f>
        <x:v>45161332</x:v>
      </x:c>
      <x:c r="C33" s="4" t="n">
        <x:f>COUNTIFS(C2:C32,"да")</x:f>
        <x:v>20</x:v>
      </x:c>
      <x:c r="D33" s="4" t="n">
        <x:f>COUNTIFS(D2:D32,"да")</x:f>
        <x:v>30</x:v>
      </x:c>
      <x:c r="E33" s="4" t="n">
        <x:f>COUNTIFS(E2:E32,"да")</x:f>
        <x:v>25</x:v>
      </x:c>
      <x:c r="F33" s="4" t="n">
        <x:f>COUNTIFS(F2:F32,"да")</x:f>
        <x:v>27</x:v>
      </x:c>
      <x:c r="G33" s="4" t="n">
        <x:f>COUNTIFS(G2:G32,"да")</x:f>
        <x:v>25</x:v>
      </x:c>
      <x:c r="H33" s="4" t="n">
        <x:f>SUM(H2:H32)</x:f>
        <x:v>127</x:v>
      </x:c>
    </x:row>
  </x:sheetData>
  <x:pageMargins left="0.7" right="0.7" top="0.75" bottom="0.75" header="0.3" footer="0.3"/>
</x:worksheet>
</file>